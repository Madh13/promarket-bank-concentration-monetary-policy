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1aa9a1845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84295ff0e942a6"/>
    <x:sheet xmlns:r="http://schemas.openxmlformats.org/officeDocument/2006/relationships" name="Data_Sources" sheetId="2" r:id="R6cc7f51f79b741b0"/>
    <x:sheet xmlns:r="http://schemas.openxmlformats.org/officeDocument/2006/relationships" name="Sample_Construction" sheetId="3" r:id="R441b4c4e8a90434c"/>
    <x:sheet xmlns:r="http://schemas.openxmlformats.org/officeDocument/2006/relationships" name="Variable_Definitions" sheetId="4" r:id="R43e48e88975e453a"/>
    <x:sheet xmlns:r="http://schemas.openxmlformats.org/officeDocument/2006/relationships" name="Quarterly_Summary" sheetId="5" r:id="R39673b767ae8420d"/>
    <x:sheet xmlns:r="http://schemas.openxmlformats.org/officeDocument/2006/relationships" name="Endpoint_Betas" sheetId="6" r:id="R408a0eff2c1b4391"/>
    <x:sheet xmlns:r="http://schemas.openxmlformats.org/officeDocument/2006/relationships" name="FE_Results" sheetId="7" r:id="R56b8bda774a744ed"/>
    <x:sheet xmlns:r="http://schemas.openxmlformats.org/officeDocument/2006/relationships" name="Sensitivity_Checks" sheetId="8" r:id="R7155b6916d164b56"/>
    <x:sheet xmlns:r="http://schemas.openxmlformats.org/officeDocument/2006/relationships" name="Article_Number_Map" sheetId="9" r:id="Rc5225aeeb68244c0"/>
    <x:sheet xmlns:r="http://schemas.openxmlformats.org/officeDocument/2006/relationships" name="Validation_Notes" sheetId="10" r:id="Raa6ab0542432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1" fontId="0" fillId="0" borderId="14" xfId="0" applyNumberFormat="1" applyFont="1" applyFill="1" applyBorder="1"/>
    <x:xf numFmtId="201" fontId="0" fillId="0" borderId="0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1" fontId="0" fillId="0" borderId="1" xfId="0" applyNumberFormat="1" applyFont="1" applyFill="1" applyBorder="1"/>
    <x:xf numFmtId="201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2" fontId="0" fillId="0" borderId="14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5" xfId="0" applyNumberFormat="1" applyFont="1" applyFill="1" applyBorder="1"/>
    <x:xf numFmtId="202" fontId="0" fillId="0" borderId="15" xfId="0" applyNumberFormat="1" applyFont="1" applyFill="1" applyBorder="1"/>
    <x:xf numFmtId="202" fontId="0" fillId="0" borderId="7" xfId="0" applyNumberFormat="1" applyFont="1" applyFill="1" applyBorder="1"/>
    <x:xf numFmtId="202" fontId="0" fillId="0" borderId="16" xfId="0" applyNumberFormat="1" applyFont="1" applyFill="1" applyBorder="1"/>
    <x:xf numFmtId="202" fontId="0" fillId="0" borderId="9" xfId="0" applyNumberFormat="1" applyFont="1" applyFill="1" applyBorder="1"/>
    <x:xf numFmtId="202" fontId="0" fillId="0" borderId="1" xfId="0" applyNumberFormat="1" applyFont="1" applyFill="1" applyBorder="1"/>
    <x:xf numFmtId="202" fontId="0" fillId="0" borderId="11" xfId="0" applyNumberFormat="1" applyFont="1" applyFill="1" applyBorder="1"/>
    <x:xf numFmtId="202" fontId="0" fillId="0" borderId="17" xfId="0" applyNumberFormat="1" applyFont="1" applyFill="1" applyBorder="1"/>
    <x:xf numFmtId="202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18dfdef3a42c9" /><Relationship Type="http://schemas.openxmlformats.org/officeDocument/2006/relationships/theme" Target="/xl/theme/theme1.xml" Id="Rc1a87bc7d5ea470a" /><Relationship Type="http://schemas.openxmlformats.org/officeDocument/2006/relationships/sharedStrings" Target="/xl/sharedStrings.xml" Id="R401242178e2645db" /><Relationship Type="http://schemas.openxmlformats.org/officeDocument/2006/relationships/worksheet" Target="/xl/worksheets/sheet1.xml" Id="R9784295ff0e942a6" /><Relationship Type="http://schemas.openxmlformats.org/officeDocument/2006/relationships/worksheet" Target="/xl/worksheets/sheet2.xml" Id="R6cc7f51f79b741b0" /><Relationship Type="http://schemas.openxmlformats.org/officeDocument/2006/relationships/worksheet" Target="/xl/worksheets/sheet3.xml" Id="R441b4c4e8a90434c" /><Relationship Type="http://schemas.openxmlformats.org/officeDocument/2006/relationships/worksheet" Target="/xl/worksheets/sheet4.xml" Id="R43e48e88975e453a" /><Relationship Type="http://schemas.openxmlformats.org/officeDocument/2006/relationships/worksheet" Target="/xl/worksheets/sheet5.xml" Id="R39673b767ae8420d" /><Relationship Type="http://schemas.openxmlformats.org/officeDocument/2006/relationships/worksheet" Target="/xl/worksheets/sheet6.xml" Id="R408a0eff2c1b4391" /><Relationship Type="http://schemas.openxmlformats.org/officeDocument/2006/relationships/worksheet" Target="/xl/worksheets/sheet7.xml" Id="R56b8bda774a744ed" /><Relationship Type="http://schemas.openxmlformats.org/officeDocument/2006/relationships/worksheet" Target="/xl/worksheets/sheet8.xml" Id="R7155b6916d164b56" /><Relationship Type="http://schemas.openxmlformats.org/officeDocument/2006/relationships/worksheet" Target="/xl/worksheets/sheet9.xml" Id="Rc5225aeeb68244c0" /><Relationship Type="http://schemas.openxmlformats.org/officeDocument/2006/relationships/worksheet" Target="/xl/worksheets/sheet10.xml" Id="Raa6ab0542432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 ht="16.799999237060547" hidden="0" customHeight="1">
      <x:c r="A1" s="4" t="str">
        <x:v>ProMarket Supporting Calculations</x:v>
      </x:c>
      <x:c r="B1" s="4"/>
      <x:c r="C1" s="4"/>
      <x:c r="D1" s="4"/>
      <x:c r="E1" s="4"/>
      <x:c r="F1" s="4"/>
      <x:c r="G1" s="4"/>
      <x:c r="H1" s="4"/>
    </x:row>
    <x:row r="2"/>
    <x:row r="3" ht="211.1999969482422" hidden="0" customHeight="1">
      <x:c r="A3" s="24" t="str">
        <x:v>Purpose</x:v>
      </x:c>
      <x:c r="B3" s="25" t="str">
        <x:v>Verification workbook supporting Madhav Ritesh Parikh's ProMarket article on bank concentration and monetary-policy transmission.</x:v>
      </x:c>
    </x:row>
    <x:row r="4" ht="211.1999969482422" hidden="0" customHeight="1">
      <x:c r="A4" s="26" t="str">
        <x:v>Coverage</x:v>
      </x:c>
      <x:c r="B4" s="27" t="str">
        <x:v>U.S. bank-quarter data, 2021Q3-2026Q2; descriptive series, cumulative betas, fixed-effects results, sensitivity checks, and source mapping.</x:v>
      </x:c>
    </x:row>
    <x:row r="5" ht="145.1999969482422" hidden="0" customHeight="1">
      <x:c r="A5" s="26" t="str">
        <x:v>Main processed panel</x:v>
      </x:c>
      <x:c r="B5" s="27" t="str">
        <x:v>Data/promarket_bank_quarter_panel_mvp.csv (91,105 usable bank-quarter observations).</x:v>
      </x:c>
    </x:row>
    <x:row r="6" ht="198" hidden="0" customHeight="1">
      <x:c r="A6" s="26" t="str">
        <x:v>Concentration</x:v>
      </x:c>
      <x:c r="B6" s="27" t="str">
        <x:v>Deposit-weighted exposure to county-level HHI. HHI is stored on a 0-1 scale; 0.10 equals 1,000 conventional HHI points.</x:v>
      </x:c>
    </x:row>
    <x:row r="7" ht="145.1999969482422" hidden="0" customHeight="1">
      <x:c r="A7" s="26" t="str">
        <x:v>Funding rate</x:v>
      </x:c>
      <x:c r="B7" s="27" t="str">
        <x:v>Quarterly domestic deposit interest expense / average interest-bearing domestic deposits x 400.</x:v>
      </x:c>
    </x:row>
    <x:row r="8" ht="184.8000030517578" hidden="0" customHeight="1">
      <x:c r="A8" s="26" t="str">
        <x:v>Regression baseline</x:v>
      </x:c>
      <x:c r="B8" s="27" t="str">
        <x:v>Bank fixed effects + quarter fixed effects + log assets; concentration fixed at 2021Q4; standard errors clustered by bank.</x:v>
      </x:c>
    </x:row>
    <x:row r="9" ht="39.599998474121094" hidden="0" customHeight="1">
      <x:c r="A9" s="26" t="str">
        <x:v>Tightening/hold window</x:v>
      </x:c>
      <x:c r="B9" s="27" t="str">
        <x:v>2021Q4-2024Q2.</x:v>
      </x:c>
    </x:row>
    <x:row r="10" ht="26.399999618530273" hidden="0" customHeight="1">
      <x:c r="A10" s="26" t="str">
        <x:v>Easing window</x:v>
      </x:c>
      <x:c r="B10" s="27" t="str">
        <x:v>2024Q2-2026Q2.</x:v>
      </x:c>
    </x:row>
    <x:row r="11" ht="303.6000061035156" hidden="0" customHeight="1">
      <x:c r="A11" s="28" t="str">
        <x:v>Important</x:v>
      </x:c>
      <x:c r="B11" s="29" t="str">
        <x:v>This workbook is a verification pack, not a separate working paper. Raw public-source downloads are not bundled; the processed panel and reproduction code are included in the ZIP.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52" hidden="0" customWidth="1"/>
    <x:col min="5" max="5" width="52" hidden="0" customWidth="1"/>
  </x:cols>
  <x:sheetData>
    <x:row r="1">
      <x:c r="A1" s="4" t="str">
        <x:v>Public data sources used in the analysis</x:v>
      </x:c>
      <x:c r="B1" s="4"/>
      <x:c r="C1" s="4"/>
      <x:c r="D1" s="4"/>
      <x:c r="E1" s="4"/>
    </x:row>
    <x:row r="3">
      <x:c r="A3" s="46" t="str">
        <x:v>Source</x:v>
      </x:c>
      <x:c r="B3" s="47" t="str">
        <x:v>Use</x:v>
      </x:c>
      <x:c r="C3" s="47" t="str">
        <x:v>Frequency</x:v>
      </x:c>
      <x:c r="D3" s="47" t="str">
        <x:v>Key fields / construction</x:v>
      </x:c>
      <x:c r="E3" s="48" t="str">
        <x:v>Official URL</x:v>
      </x:c>
    </x:row>
    <x:row r="4">
      <x:c r="A4" s="59" t="str">
        <x:v>FFIEC Call Reports</x:v>
      </x:c>
      <x:c r="B4" s="60" t="str">
        <x:v>Bank balance-sheet and income-statement inputs</x:v>
      </x:c>
      <x:c r="C4" s="60" t="str">
        <x:v>Quarterly</x:v>
      </x:c>
      <x:c r="D4" s="60" t="str">
        <x:v>Deposit interest expense, interest-bearing domestic deposits, total assets</x:v>
      </x:c>
      <x:c r="E4" s="27" t="str">
        <x:v>https://cdr.ffiec.gov/public/pws/downloadbulkdata.aspx</x:v>
      </x:c>
    </x:row>
    <x:row r="5">
      <x:c r="A5" s="59" t="str">
        <x:v>FDIC Summary of Deposits</x:v>
      </x:c>
      <x:c r="B5" s="60" t="str">
        <x:v>Local deposit-market concentration</x:v>
      </x:c>
      <x:c r="C5" s="60" t="str">
        <x:v>Annual (June 30)</x:v>
      </x:c>
      <x:c r="D5" s="60" t="str">
        <x:v>Branch deposits (DEPSUMBR) aggregated to county HHI, then deposit-weighted to the bank</x:v>
      </x:c>
      <x:c r="E5" s="27" t="str">
        <x:v>https://banks.data.fdic.gov/bankfind-suite/SOD</x:v>
      </x:c>
    </x:row>
    <x:row r="6">
      <x:c r="A6" s="61" t="str">
        <x:v>Federal Reserve Bank of New York EFFR</x:v>
      </x:c>
      <x:c r="B6" s="62" t="str">
        <x:v>Policy-rate series</x:v>
      </x:c>
      <x:c r="C6" s="62" t="str">
        <x:v>Daily, averaged to quarter</x:v>
      </x:c>
      <x:c r="D6" s="62" t="str">
        <x:v>Effective federal funds rate</x:v>
      </x:c>
      <x:c r="E6" s="29" t="str">
        <x:v>https://www.newyorkfed.org/markets/reference-rates/effr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70" hidden="0" customWidth="1"/>
  </x:cols>
  <x:sheetData>
    <x:row r="1">
      <x:c r="A1" s="4" t="str">
        <x:v>Sample construction and integrity checks</x:v>
      </x:c>
      <x:c r="B1" s="4"/>
      <x:c r="C1" s="4"/>
    </x:row>
    <x:row r="3">
      <x:c r="A3" s="40" t="str">
        <x:v>Metric</x:v>
      </x:c>
      <x:c r="B3" s="40" t="str">
        <x:v>Value</x:v>
      </x:c>
      <x:c r="C3" s="40" t="str">
        <x:v>Interpretation</x:v>
      </x:c>
    </x:row>
    <x:row r="4">
      <x:c r="A4" s="71" t="str">
        <x:v>analysis_rows</x:v>
      </x:c>
      <x:c r="B4" s="75" t="n">
        <x:v>92586</x:v>
      </x:c>
      <x:c r="C4" s="25" t="str">
        <x:v>Rows before requiring a usable HHI and valid funding-rate observation.</x:v>
      </x:c>
    </x:row>
    <x:row r="5">
      <x:c r="A5" s="59" t="str">
        <x:v>rows_with_hhi_match</x:v>
      </x:c>
      <x:c r="B5" s="76" t="n">
        <x:v>91397</x:v>
      </x:c>
      <x:c r="C5" s="27" t="str">
        <x:v>Rows successfully matched to the applicable SOD-based concentration measure.</x:v>
      </x:c>
    </x:row>
    <x:row r="6">
      <x:c r="A6" s="59" t="str">
        <x:v>hhi_merge_rate_pct</x:v>
      </x:c>
      <x:c r="B6" s="76" t="n">
        <x:v>98.71578856414577</x:v>
      </x:c>
      <x:c r="C6" s="27" t="str">
        <x:v>Share of analysis rows with an HHI match.</x:v>
      </x:c>
    </x:row>
    <x:row r="7">
      <x:c r="A7" s="59" t="str">
        <x:v>valid_bank_quarter_rows</x:v>
      </x:c>
      <x:c r="B7" s="76" t="n">
        <x:v>91105</x:v>
      </x:c>
      <x:c r="C7" s="27" t="str">
        <x:v>Final usable bank-quarter observations in the main descriptive panel.</x:v>
      </x:c>
    </x:row>
    <x:row r="8">
      <x:c r="A8" s="59" t="str">
        <x:v>certificate_agreement_pct</x:v>
      </x:c>
      <x:c r="B8" s="76" t="n">
        <x:v>99.99343523310394</x:v>
      </x:c>
      <x:c r="C8" s="27" t="str">
        <x:v>Crosswalk consistency check between bank identifiers.</x:v>
      </x:c>
    </x:row>
    <x:row r="9">
      <x:c r="A9" s="59" t="str">
        <x:v>balanced_panel_banks</x:v>
      </x:c>
      <x:c r="B9" s="76" t="n">
        <x:v>4168</x:v>
      </x:c>
      <x:c r="C9" s="27" t="str">
        <x:v>Common endpoint-bank count used in cumulative beta calculations (despite the legacy metric label).</x:v>
      </x:c>
    </x:row>
    <x:row r="10">
      <x:c r="A10" s="59" t="str">
        <x:v>tightening_beta_low_concentration_pct</x:v>
      </x:c>
      <x:c r="B10" s="76" t="n">
        <x:v>46.02565610638146</x:v>
      </x:c>
      <x:c r="C10" s="27" t="str">
        <x:v>Cumulative tightening/hold beta for bottom-HHI-quartile banks.</x:v>
      </x:c>
    </x:row>
    <x:row r="11">
      <x:c r="A11" s="59" t="str">
        <x:v>tightening_beta_high_concentration_pct</x:v>
      </x:c>
      <x:c r="B11" s="76" t="n">
        <x:v>40.04490519427727</x:v>
      </x:c>
      <x:c r="C11" s="27" t="str">
        <x:v>Cumulative tightening/hold beta for top-HHI-quartile banks.</x:v>
      </x:c>
    </x:row>
    <x:row r="12">
      <x:c r="A12" s="59" t="str">
        <x:v>easing_beta_low_concentration_pct</x:v>
      </x:c>
      <x:c r="B12" s="76" t="n">
        <x:v>19.281474246474975</x:v>
      </x:c>
      <x:c r="C12" s="27" t="str">
        <x:v>Cumulative easing beta for bottom-HHI-quartile banks.</x:v>
      </x:c>
    </x:row>
    <x:row r="13">
      <x:c r="A13" s="59" t="str">
        <x:v>easing_beta_high_concentration_pct</x:v>
      </x:c>
      <x:c r="B13" s="76" t="n">
        <x:v>15.087394486253991</x:v>
      </x:c>
      <x:c r="C13" s="27" t="str">
        <x:v>Cumulative easing beta for top-HHI-quartile banks.</x:v>
      </x:c>
    </x:row>
    <x:row r="14">
      <x:c r="A14" s="59" t="str">
        <x:v>gap_2021Q4_bp</x:v>
      </x:c>
      <x:c r="B14" s="76" t="n">
        <x:v>-1.4049555487953391</x:v>
      </x:c>
      <x:c r="C14" s="27" t="str"/>
    </x:row>
    <x:row r="15">
      <x:c r="A15" s="59" t="str">
        <x:v>gap_2024Q2_bp</x:v>
      </x:c>
      <x:c r="B15" s="76" t="n">
        <x:v>29.996834716376508</x:v>
      </x:c>
      <x:c r="C15" s="27" t="str"/>
    </x:row>
    <x:row r="16">
      <x:c r="A16" s="59" t="str">
        <x:v>gap_2026Q2_bp</x:v>
      </x:c>
      <x:c r="B16" s="76" t="n">
        <x:v>22.872224939569374</x:v>
      </x:c>
      <x:c r="C16" s="27" t="str"/>
    </x:row>
    <x:row r="17">
      <x:c r="A17" s="59" t="str">
        <x:v>level_reg_hhi_coef_pct_points_per_1000_hhi</x:v>
      </x:c>
      <x:c r="B17" s="76" t="n">
        <x:v>-0.040954980915101996</x:v>
      </x:c>
      <x:c r="C17" s="27" t="str"/>
    </x:row>
    <x:row r="18">
      <x:c r="A18" s="61" t="str">
        <x:v>level_reg_hhi_se</x:v>
      </x:c>
      <x:c r="B18" s="77" t="n">
        <x:v>0.0018116554644571619</x:v>
      </x:c>
      <x:c r="C18" s="29" t="str"/>
    </x:row>
    <x:row r="19">
      <x:c r="B19" s="78"/>
    </x:row>
    <x:row r="20">
      <x:c r="B20" s="78"/>
    </x:row>
    <x:row r="21">
      <x:c r="B21" s="78"/>
    </x:row>
    <x:row r="22">
      <x:c r="B22" s="78"/>
    </x:row>
    <x:row r="23">
      <x:c r="B23" s="78"/>
    </x:row>
    <x:row r="24">
      <x:c r="B24" s="78"/>
    </x:row>
    <x:row r="25">
      <x:c r="B25" s="78"/>
    </x:row>
    <x:row r="26">
      <x:c r="B26" s="78"/>
    </x:row>
    <x:row r="27">
      <x:c r="B27" s="78"/>
    </x:row>
    <x:row r="28">
      <x:c r="B28" s="78"/>
    </x:row>
    <x:row r="29">
      <x:c r="B29" s="78"/>
    </x:row>
    <x:row r="30">
      <x:c r="B30" s="78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52" hidden="0" customWidth="1"/>
    <x:col min="5" max="5" width="16" hidden="0" customWidth="1"/>
    <x:col min="6" max="6" width="52" hidden="0" customWidth="1"/>
  </x:cols>
  <x:sheetData>
    <x:row r="1">
      <x:c r="A1" s="4" t="str">
        <x:v>Variable construction</x:v>
      </x:c>
      <x:c r="B1" s="4"/>
      <x:c r="C1" s="4"/>
      <x:c r="D1" s="4"/>
      <x:c r="E1" s="4"/>
      <x:c r="F1" s="4"/>
    </x:row>
    <x:row r="3">
      <x:c r="A3" s="40" t="str">
        <x:v>Variable</x:v>
      </x:c>
      <x:c r="B3" s="40" t="str">
        <x:v>Definition</x:v>
      </x:c>
      <x:c r="C3" s="40" t="str">
        <x:v>Source fields</x:v>
      </x:c>
      <x:c r="D3" s="40" t="str">
        <x:v>Formula / rule</x:v>
      </x:c>
      <x:c r="E3" s="40" t="str">
        <x:v>Unit</x:v>
      </x:c>
      <x:c r="F3" s="40" t="str">
        <x:v>Notes</x:v>
      </x:c>
    </x:row>
    <x:row r="4">
      <x:c r="A4" s="71" t="str">
        <x:v>Domestic deposit interest expense</x:v>
      </x:c>
      <x:c r="B4" s="72" t="str">
        <x:v>Interest expense on interest-bearing domestic deposits</x:v>
      </x:c>
      <x:c r="C4" s="72" t="str">
        <x:v>RIAD4508 + RIAD0093 + RIADHK03 + RIADHK04</x:v>
      </x:c>
      <x:c r="D4" s="72" t="str">
        <x:v>Sum four domestic-deposit interest-expense categories; exclude RIAD4172 foreign-office deposit interest</x:v>
      </x:c>
      <x:c r="E4" s="72" t="str">
        <x:v>$000, YTD</x:v>
      </x:c>
      <x:c r="F4" s="25" t="str">
        <x:v>YTD income-statement fields are differenced to obtain quarterly flows.</x:v>
      </x:c>
    </x:row>
    <x:row r="5">
      <x:c r="A5" s="59" t="str">
        <x:v>Interest-bearing domestic deposits</x:v>
      </x:c>
      <x:c r="B5" s="60" t="str">
        <x:v>Domestic deposit balances that bear interest</x:v>
      </x:c>
      <x:c r="C5" s="60" t="str">
        <x:v>Schedule RC / RC-E interest-bearing domestic deposits</x:v>
      </x:c>
      <x:c r="D5" s="60" t="str">
        <x:v>Quarterly denominator uses average of adjacent quarter-end balances in the main panel</x:v>
      </x:c>
      <x:c r="E5" s="60" t="str">
        <x:v>$000</x:v>
      </x:c>
      <x:c r="F5" s="27" t="str">
        <x:v>Separate RC-K validation check confirmed the shortcut is very close to reported quarterly averages.</x:v>
      </x:c>
    </x:row>
    <x:row r="6">
      <x:c r="A6" s="59" t="str">
        <x:v>Effective deposit funding rate</x:v>
      </x:c>
      <x:c r="B6" s="60" t="str">
        <x:v>Average realized cost across the bank's stock of interest-bearing domestic deposits</x:v>
      </x:c>
      <x:c r="C6" s="60" t="str">
        <x:v>Quarterly domestic deposit interest expense; average IB domestic deposits</x:v>
      </x:c>
      <x:c r="D6" s="60" t="str">
        <x:v>Quarterly interest expense / average IB deposits x 400</x:v>
      </x:c>
      <x:c r="E6" s="60" t="str">
        <x:v>% annualized</x:v>
      </x:c>
      <x:c r="F6" s="27" t="str">
        <x:v>Not an advertised savings-account APY.</x:v>
      </x:c>
    </x:row>
    <x:row r="7">
      <x:c r="A7" s="59" t="str">
        <x:v>County HHI</x:v>
      </x:c>
      <x:c r="B7" s="60" t="str">
        <x:v>Concentration of branch deposits within each county</x:v>
      </x:c>
      <x:c r="C7" s="60" t="str">
        <x:v>FDIC SOD branch deposits (DEPSUMBR)</x:v>
      </x:c>
      <x:c r="D7" s="60" t="str">
        <x:v>Sum of squared branch-bank deposit shares within county</x:v>
      </x:c>
      <x:c r="E7" s="60" t="str">
        <x:v>0-1</x:v>
      </x:c>
      <x:c r="F7" s="27" t="str">
        <x:v>Multiply by 10,000 for conventional HHI points.</x:v>
      </x:c>
    </x:row>
    <x:row r="8">
      <x:c r="A8" s="59" t="str">
        <x:v>Bank HHI</x:v>
      </x:c>
      <x:c r="B8" s="60" t="str">
        <x:v>Bank exposure to local deposit-market concentration</x:v>
      </x:c>
      <x:c r="C8" s="60" t="str">
        <x:v>County HHI + bank branch deposits</x:v>
      </x:c>
      <x:c r="D8" s="60" t="str">
        <x:v>Deposit-weighted average of county HHIs across the bank's footprint</x:v>
      </x:c>
      <x:c r="E8" s="60" t="str">
        <x:v>0-1</x:v>
      </x:c>
      <x:c r="F8" s="27" t="str">
        <x:v>Uses latest SOD available without look-ahead.</x:v>
      </x:c>
    </x:row>
    <x:row r="9">
      <x:c r="A9" s="59" t="str">
        <x:v>EFFR</x:v>
      </x:c>
      <x:c r="B9" s="60" t="str">
        <x:v>Quarterly monetary-policy benchmark</x:v>
      </x:c>
      <x:c r="C9" s="60" t="str">
        <x:v>NY Fed daily EFFR</x:v>
      </x:c>
      <x:c r="D9" s="60" t="str">
        <x:v>Quarterly average of daily EFFR observations</x:v>
      </x:c>
      <x:c r="E9" s="60" t="str">
        <x:v>%</x:v>
      </x:c>
      <x:c r="F9" s="27" t="str">
        <x:v>Used for the full-cycle plots and beta/regression calculations.</x:v>
      </x:c>
    </x:row>
    <x:row r="10">
      <x:c r="A10" s="59" t="str">
        <x:v>Competitive group</x:v>
      </x:c>
      <x:c r="B10" s="60" t="str">
        <x:v>Lower-concentration banks</x:v>
      </x:c>
      <x:c r="C10" s="60" t="str">
        <x:v>2021Q4 bank HHI</x:v>
      </x:c>
      <x:c r="D10" s="60" t="str">
        <x:v>Bottom quartile of 2021Q4 HHI</x:v>
      </x:c>
      <x:c r="E10" s="60" t="str">
        <x:v>Indicator</x:v>
      </x:c>
      <x:c r="F10" s="27" t="str">
        <x:v>Classification is fixed at the start of the cycle for endpoint and FE analyses.</x:v>
      </x:c>
    </x:row>
    <x:row r="11">
      <x:c r="A11" s="61" t="str">
        <x:v>Concentrated group</x:v>
      </x:c>
      <x:c r="B11" s="62" t="str">
        <x:v>Higher-concentration banks</x:v>
      </x:c>
      <x:c r="C11" s="62" t="str">
        <x:v>2021Q4 bank HHI</x:v>
      </x:c>
      <x:c r="D11" s="62" t="str">
        <x:v>Top quartile of 2021Q4 HHI</x:v>
      </x:c>
      <x:c r="E11" s="62" t="str">
        <x:v>Indicator</x:v>
      </x:c>
      <x:c r="F11" s="29" t="str">
        <x:v>Classification is fixed at the start of the cycle for endpoint and FE analyses.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10" hidden="0" customWidth="1"/>
    <x:col min="8" max="8" width="12" hidden="0" customWidth="1"/>
    <x:col min="9" max="9" width="12" hidden="0" customWidth="1"/>
    <x:col min="10" max="10" width="24" hidden="0" customWidth="1"/>
  </x:cols>
  <x:sheetData>
    <x:row r="1">
      <x:c r="A1" s="4" t="str">
        <x:v>Quarterly medians and competition gap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40" t="str">
        <x:v>Date</x:v>
      </x:c>
      <x:c r="B3" s="40" t="str">
        <x:v>EFFR (%)</x:v>
      </x:c>
      <x:c r="C3" s="40" t="str">
        <x:v>Low-HHI median rate (%)</x:v>
      </x:c>
      <x:c r="D3" s="40" t="str">
        <x:v>High-HHI median rate (%)</x:v>
      </x:c>
      <x:c r="E3" s="40" t="str">
        <x:v>Gap (bp, formula)</x:v>
      </x:c>
      <x:c r="F3" s="40" t="str">
        <x:v>All-bank median rate (%)</x:v>
      </x:c>
      <x:c r="G3" s="40" t="str">
        <x:v>N</x:v>
      </x:c>
      <x:c r="H3" s="40" t="str">
        <x:v>Low-HHI N</x:v>
      </x:c>
      <x:c r="I3" s="40" t="str">
        <x:v>High-HHI N</x:v>
      </x:c>
      <x:c r="J3" s="40" t="str">
        <x:v>SOD-year HHI P25 / P75</x:v>
      </x:c>
    </x:row>
    <x:row r="4">
      <x:c r="A4" s="67" t="str">
        <x:v>2021-09-30</x:v>
      </x:c>
      <x:c r="B4" s="83" t="n">
        <x:v>0.07894736842105263</x:v>
      </x:c>
      <x:c r="C4" s="83" t="n">
        <x:v>0.3712912227711168</x:v>
      </x:c>
      <x:c r="D4" s="83" t="n">
        <x:v>0.38598767168524106</x:v>
      </x:c>
      <x:c r="E4" s="87" t="n">
        <x:f>(C4-D4)*100</x:f>
        <x:v>-1.469644891412425</x:v>
      </x:c>
      <x:c r="F4" s="83" t="n">
        <x:v>0.3712981887682298</x:v>
      </x:c>
      <x:c r="G4" s="68" t="n">
        <x:v>4893</x:v>
      </x:c>
      <x:c r="H4" s="68" t="n">
        <x:v>1224</x:v>
      </x:c>
      <x:c r="I4" s="68" t="n">
        <x:v>1226</x:v>
      </x:c>
      <x:c r="J4" s="13" t="str">
        <x:v>0.145890 / 0.282499</x:v>
      </x:c>
    </x:row>
    <x:row r="5">
      <x:c r="A5" s="49" t="str">
        <x:v>2021-12-31</x:v>
      </x:c>
      <x:c r="B5" s="78" t="n">
        <x:v>0.07952380952380952</x:v>
      </x:c>
      <x:c r="C5" s="78" t="n">
        <x:v>0.33471953665071824</x:v>
      </x:c>
      <x:c r="D5" s="78" t="n">
        <x:v>0.351914263220267</x:v>
      </x:c>
      <x:c r="E5" s="88" t="n">
        <x:f>(C5-D5)*100</x:f>
        <x:v>-1.7194726569548735</x:v>
      </x:c>
      <x:c r="F5" s="78" t="n">
        <x:v>0.33781406151031035</x:v>
      </x:c>
      <x:c r="G5" s="50" t="n">
        <x:v>4807</x:v>
      </x:c>
      <x:c r="H5" s="50" t="n">
        <x:v>1202</x:v>
      </x:c>
      <x:c r="I5" s="50" t="n">
        <x:v>1202</x:v>
      </x:c>
      <x:c r="J5" s="15" t="str">
        <x:v>0.145992 / 0.283448</x:v>
      </x:c>
    </x:row>
    <x:row r="6">
      <x:c r="A6" s="49" t="str">
        <x:v>2022-03-31</x:v>
      </x:c>
      <x:c r="B6" s="78" t="n">
        <x:v>0.12435483870967742</x:v>
      </x:c>
      <x:c r="C6" s="78" t="n">
        <x:v>0.3091246378828952</x:v>
      </x:c>
      <x:c r="D6" s="78" t="n">
        <x:v>0.32200835326832</x:v>
      </x:c>
      <x:c r="E6" s="88" t="n">
        <x:f>(C6-D6)*100</x:f>
        <x:v>-1.288371538542482</x:v>
      </x:c>
      <x:c r="F6" s="78" t="n">
        <x:v>0.3063465876255467</x:v>
      </x:c>
      <x:c r="G6" s="50" t="n">
        <x:v>4776</x:v>
      </x:c>
      <x:c r="H6" s="50" t="n">
        <x:v>1194</x:v>
      </x:c>
      <x:c r="I6" s="50" t="n">
        <x:v>1194</x:v>
      </x:c>
      <x:c r="J6" s="15" t="str">
        <x:v>0.146514 / 0.283793</x:v>
      </x:c>
    </x:row>
    <x:row r="7">
      <x:c r="A7" s="49" t="str">
        <x:v>2022-06-30</x:v>
      </x:c>
      <x:c r="B7" s="78" t="n">
        <x:v>0.7585714285714286</x:v>
      </x:c>
      <x:c r="C7" s="78" t="n">
        <x:v>0.3359948308487562</x:v>
      </x:c>
      <x:c r="D7" s="78" t="n">
        <x:v>0.3374933462126606</x:v>
      </x:c>
      <x:c r="E7" s="88" t="n">
        <x:f>(C7-D7)*100</x:f>
        <x:v>-0.14985153639043847</x:v>
      </x:c>
      <x:c r="F7" s="78" t="n">
        <x:v>0.32938306782228655</x:v>
      </x:c>
      <x:c r="G7" s="50" t="n">
        <x:v>4738</x:v>
      </x:c>
      <x:c r="H7" s="50" t="n">
        <x:v>1185</x:v>
      </x:c>
      <x:c r="I7" s="50" t="n">
        <x:v>1185</x:v>
      </x:c>
      <x:c r="J7" s="15" t="str">
        <x:v>0.146566 / 0.283820</x:v>
      </x:c>
    </x:row>
    <x:row r="8">
      <x:c r="A8" s="49" t="str">
        <x:v>2022-09-30</x:v>
      </x:c>
      <x:c r="B8" s="78" t="n">
        <x:v>2.2009375</x:v>
      </x:c>
      <x:c r="C8" s="78" t="n">
        <x:v>0.5014354066985646</x:v>
      </x:c>
      <x:c r="D8" s="78" t="n">
        <x:v>0.4492489119752913</x:v>
      </x:c>
      <x:c r="E8" s="88" t="n">
        <x:f>(C8-D8)*100</x:f>
        <x:v>5.218649472327325</x:v>
      </x:c>
      <x:c r="F8" s="78" t="n">
        <x:v>0.46177956151789623</x:v>
      </x:c>
      <x:c r="G8" s="50" t="n">
        <x:v>4724</x:v>
      </x:c>
      <x:c r="H8" s="50" t="n">
        <x:v>1181</x:v>
      </x:c>
      <x:c r="I8" s="50" t="n">
        <x:v>1181</x:v>
      </x:c>
      <x:c r="J8" s="15" t="str">
        <x:v>0.147344 / 0.287017</x:v>
      </x:c>
    </x:row>
    <x:row r="9">
      <x:c r="A9" s="49" t="str">
        <x:v>2022-12-31</x:v>
      </x:c>
      <x:c r="B9" s="78" t="n">
        <x:v>3.649672131147541</x:v>
      </x:c>
      <x:c r="C9" s="78" t="n">
        <x:v>0.8898314254181905</x:v>
      </x:c>
      <x:c r="D9" s="78" t="n">
        <x:v>0.6978183555730866</x:v>
      </x:c>
      <x:c r="E9" s="88" t="n">
        <x:f>(C9-D9)*100</x:f>
        <x:v>19.201306984510392</x:v>
      </x:c>
      <x:c r="F9" s="78" t="n">
        <x:v>0.7582365224469769</x:v>
      </x:c>
      <x:c r="G9" s="50" t="n">
        <x:v>4678</x:v>
      </x:c>
      <x:c r="H9" s="50" t="n">
        <x:v>1173</x:v>
      </x:c>
      <x:c r="I9" s="50" t="n">
        <x:v>1171</x:v>
      </x:c>
      <x:c r="J9" s="15" t="str">
        <x:v>0.147435 / 0.287474</x:v>
      </x:c>
    </x:row>
    <x:row r="10">
      <x:c r="A10" s="49" t="str">
        <x:v>2023-03-31</x:v>
      </x:c>
      <x:c r="B10" s="78" t="n">
        <x:v>4.521935483870968</x:v>
      </x:c>
      <x:c r="C10" s="78" t="n">
        <x:v>1.3933889664359014</x:v>
      </x:c>
      <x:c r="D10" s="78" t="n">
        <x:v>1.0773664322082002</x:v>
      </x:c>
      <x:c r="E10" s="88" t="n">
        <x:f>(C10-D10)*100</x:f>
        <x:v>31.602253422770122</x:v>
      </x:c>
      <x:c r="F10" s="78" t="n">
        <x:v>1.1774278825421942</x:v>
      </x:c>
      <x:c r="G10" s="50" t="n">
        <x:v>4653</x:v>
      </x:c>
      <x:c r="H10" s="50" t="n">
        <x:v>1168</x:v>
      </x:c>
      <x:c r="I10" s="50" t="n">
        <x:v>1165</x:v>
      </x:c>
      <x:c r="J10" s="15" t="str">
        <x:v>0.147435 / 0.287474</x:v>
      </x:c>
    </x:row>
    <x:row r="11">
      <x:c r="A11" s="49" t="str">
        <x:v>2023-06-30</x:v>
      </x:c>
      <x:c r="B11" s="78" t="n">
        <x:v>4.987301587301587</x:v>
      </x:c>
      <x:c r="C11" s="78" t="n">
        <x:v>1.8310700815270498</x:v>
      </x:c>
      <x:c r="D11" s="78" t="n">
        <x:v>1.50764243500444</x:v>
      </x:c>
      <x:c r="E11" s="88" t="n">
        <x:f>(C11-D11)*100</x:f>
        <x:v>32.34276465226098</x:v>
      </x:c>
      <x:c r="F11" s="78" t="n">
        <x:v>1.6153257573610678</x:v>
      </x:c>
      <x:c r="G11" s="50" t="n">
        <x:v>4621</x:v>
      </x:c>
      <x:c r="H11" s="50" t="n">
        <x:v>1156</x:v>
      </x:c>
      <x:c r="I11" s="50" t="n">
        <x:v>1156</x:v>
      </x:c>
      <x:c r="J11" s="15" t="str">
        <x:v>0.147435 / 0.287474</x:v>
      </x:c>
    </x:row>
    <x:row r="12">
      <x:c r="A12" s="49" t="str">
        <x:v>2023-09-30</x:v>
      </x:c>
      <x:c r="B12" s="78" t="n">
        <x:v>5.262380952380953</x:v>
      </x:c>
      <x:c r="C12" s="78" t="n">
        <x:v>2.219991903784382</x:v>
      </x:c>
      <x:c r="D12" s="78" t="n">
        <x:v>1.8721162368806898</x:v>
      </x:c>
      <x:c r="E12" s="88" t="n">
        <x:f>(C12-D12)*100</x:f>
        <x:v>34.7875666903692</x:v>
      </x:c>
      <x:c r="F12" s="78" t="n">
        <x:v>1.9661296711225882</x:v>
      </x:c>
      <x:c r="G12" s="50" t="n">
        <x:v>4594</x:v>
      </x:c>
      <x:c r="H12" s="50" t="n">
        <x:v>1149</x:v>
      </x:c>
      <x:c r="I12" s="50" t="n">
        <x:v>1149</x:v>
      </x:c>
      <x:c r="J12" s="15" t="str">
        <x:v>0.148254 / 0.292711</x:v>
      </x:c>
    </x:row>
    <x:row r="13">
      <x:c r="A13" s="49" t="str">
        <x:v>2023-12-31</x:v>
      </x:c>
      <x:c r="B13" s="78" t="n">
        <x:v>5.33</x:v>
      </x:c>
      <x:c r="C13" s="78" t="n">
        <x:v>2.483497746924857</x:v>
      </x:c>
      <x:c r="D13" s="78" t="n">
        <x:v>2.161327672713238</x:v>
      </x:c>
      <x:c r="E13" s="88" t="n">
        <x:f>(C13-D13)*100</x:f>
        <x:v>32.217007421161895</x:v>
      </x:c>
      <x:c r="F13" s="78" t="n">
        <x:v>2.2544817866769815</x:v>
      </x:c>
      <x:c r="G13" s="50" t="n">
        <x:v>4570</x:v>
      </x:c>
      <x:c r="H13" s="50" t="n">
        <x:v>1143</x:v>
      </x:c>
      <x:c r="I13" s="50" t="n">
        <x:v>1143</x:v>
      </x:c>
      <x:c r="J13" s="15" t="str">
        <x:v>0.148285 / 0.292886</x:v>
      </x:c>
    </x:row>
    <x:row r="14">
      <x:c r="A14" s="49" t="str">
        <x:v>2024-03-31</x:v>
      </x:c>
      <x:c r="B14" s="78" t="n">
        <x:v>5.33</x:v>
      </x:c>
      <x:c r="C14" s="78" t="n">
        <x:v>2.674591381872214</x:v>
      </x:c>
      <x:c r="D14" s="78" t="n">
        <x:v>2.333401131214866</x:v>
      </x:c>
      <x:c r="E14" s="88" t="n">
        <x:f>(C14-D14)*100</x:f>
        <x:v>34.11902506573479</x:v>
      </x:c>
      <x:c r="F14" s="78" t="n">
        <x:v>2.424995660750171</x:v>
      </x:c>
      <x:c r="G14" s="50" t="n">
        <x:v>4556</x:v>
      </x:c>
      <x:c r="H14" s="50" t="n">
        <x:v>1139</x:v>
      </x:c>
      <x:c r="I14" s="50" t="n">
        <x:v>1139</x:v>
      </x:c>
      <x:c r="J14" s="15" t="str">
        <x:v>0.148254 / 0.292988</x:v>
      </x:c>
    </x:row>
    <x:row r="15">
      <x:c r="A15" s="49" t="str">
        <x:v>2024-06-30</x:v>
      </x:c>
      <x:c r="B15" s="78" t="n">
        <x:v>5.33</x:v>
      </x:c>
      <x:c r="C15" s="78" t="n">
        <x:v>2.807839050960692</x:v>
      </x:c>
      <x:c r="D15" s="78" t="n">
        <x:v>2.455533377689066</x:v>
      </x:c>
      <x:c r="E15" s="88" t="n">
        <x:f>(C15-D15)*100</x:f>
        <x:v>35.23056732716259</x:v>
      </x:c>
      <x:c r="F15" s="78" t="n">
        <x:v>2.5589668599410524</x:v>
      </x:c>
      <x:c r="G15" s="50" t="n">
        <x:v>4522</x:v>
      </x:c>
      <x:c r="H15" s="50" t="n">
        <x:v>1131</x:v>
      </x:c>
      <x:c r="I15" s="50" t="n">
        <x:v>1131</x:v>
      </x:c>
      <x:c r="J15" s="15" t="str">
        <x:v>0.148201 / 0.292294</x:v>
      </x:c>
    </x:row>
    <x:row r="16">
      <x:c r="A16" s="49" t="str">
        <x:v>2024-09-30</x:v>
      </x:c>
      <x:c r="B16" s="78" t="n">
        <x:v>5.2675</x:v>
      </x:c>
      <x:c r="C16" s="78" t="n">
        <x:v>2.896657120662086</x:v>
      </x:c>
      <x:c r="D16" s="78" t="n">
        <x:v>2.570315238525218</x:v>
      </x:c>
      <x:c r="E16" s="88" t="n">
        <x:f>(C16-D16)*100</x:f>
        <x:v>32.63418821368678</x:v>
      </x:c>
      <x:c r="F16" s="78" t="n">
        <x:v>2.6935604518081324</x:v>
      </x:c>
      <x:c r="G16" s="50" t="n">
        <x:v>4504</x:v>
      </x:c>
      <x:c r="H16" s="50" t="n">
        <x:v>1126</x:v>
      </x:c>
      <x:c r="I16" s="50" t="n">
        <x:v>1126</x:v>
      </x:c>
      <x:c r="J16" s="15" t="str">
        <x:v>0.148483 / 0.292198</x:v>
      </x:c>
    </x:row>
    <x:row r="17">
      <x:c r="A17" s="49" t="str">
        <x:v>2024-12-31</x:v>
      </x:c>
      <x:c r="B17" s="78" t="n">
        <x:v>4.656612903225806</x:v>
      </x:c>
      <x:c r="C17" s="78" t="n">
        <x:v>2.836882075436544</x:v>
      </x:c>
      <x:c r="D17" s="78" t="n">
        <x:v>2.522114730333422</x:v>
      </x:c>
      <x:c r="E17" s="88" t="n">
        <x:f>(C17-D17)*100</x:f>
        <x:v>31.476734510312188</x:v>
      </x:c>
      <x:c r="F17" s="78" t="n">
        <x:v>2.63440833329166</x:v>
      </x:c>
      <x:c r="G17" s="50" t="n">
        <x:v>4467</x:v>
      </x:c>
      <x:c r="H17" s="50" t="n">
        <x:v>1117</x:v>
      </x:c>
      <x:c r="I17" s="50" t="n">
        <x:v>1117</x:v>
      </x:c>
      <x:c r="J17" s="15" t="str">
        <x:v>0.148494 / 0.292680</x:v>
      </x:c>
    </x:row>
    <x:row r="18">
      <x:c r="A18" s="49" t="str">
        <x:v>2025-03-31</x:v>
      </x:c>
      <x:c r="B18" s="78" t="n">
        <x:v>4.33</x:v>
      </x:c>
      <x:c r="C18" s="78" t="n">
        <x:v>2.6560829328895315</x:v>
      </x:c>
      <x:c r="D18" s="78" t="n">
        <x:v>2.375105121349936</x:v>
      </x:c>
      <x:c r="E18" s="88" t="n">
        <x:f>(C18-D18)*100</x:f>
        <x:v>28.097781153959556</x:v>
      </x:c>
      <x:c r="F18" s="78" t="n">
        <x:v>2.4733439994215565</x:v>
      </x:c>
      <x:c r="G18" s="50" t="n">
        <x:v>4445</x:v>
      </x:c>
      <x:c r="H18" s="50" t="n">
        <x:v>1112</x:v>
      </x:c>
      <x:c r="I18" s="50" t="n">
        <x:v>1112</x:v>
      </x:c>
      <x:c r="J18" s="15" t="str">
        <x:v>0.148644 / 0.292747</x:v>
      </x:c>
    </x:row>
    <x:row r="19">
      <x:c r="A19" s="49" t="str">
        <x:v>2025-06-30</x:v>
      </x:c>
      <x:c r="B19" s="78" t="n">
        <x:v>4.33</x:v>
      </x:c>
      <x:c r="C19" s="78" t="n">
        <x:v>2.6561684152007077</x:v>
      </x:c>
      <x:c r="D19" s="78" t="n">
        <x:v>2.365883938206405</x:v>
      </x:c>
      <x:c r="E19" s="88" t="n">
        <x:f>(C19-D19)*100</x:f>
        <x:v>29.02844769943025</x:v>
      </x:c>
      <x:c r="F19" s="78" t="n">
        <x:v>2.457863243672338</x:v>
      </x:c>
      <x:c r="G19" s="50" t="n">
        <x:v>4398</x:v>
      </x:c>
      <x:c r="H19" s="50" t="n">
        <x:v>1102</x:v>
      </x:c>
      <x:c r="I19" s="50" t="n">
        <x:v>1100</x:v>
      </x:c>
      <x:c r="J19" s="15" t="str">
        <x:v>0.148853 / 0.293123</x:v>
      </x:c>
    </x:row>
    <x:row r="20">
      <x:c r="A20" s="49" t="str">
        <x:v>2025-09-30</x:v>
      </x:c>
      <x:c r="B20" s="78" t="n">
        <x:v>4.2959375</x:v>
      </x:c>
      <x:c r="C20" s="78" t="n">
        <x:v>2.66977510046708</x:v>
      </x:c>
      <x:c r="D20" s="78" t="n">
        <x:v>2.391534511360355</x:v>
      </x:c>
      <x:c r="E20" s="88" t="n">
        <x:f>(C20-D20)*100</x:f>
        <x:v>27.8240589106725</x:v>
      </x:c>
      <x:c r="F20" s="78" t="n">
        <x:v>2.478036090258717</x:v>
      </x:c>
      <x:c r="G20" s="50" t="n">
        <x:v>4361</x:v>
      </x:c>
      <x:c r="H20" s="50" t="n">
        <x:v>1091</x:v>
      </x:c>
      <x:c r="I20" s="50" t="n">
        <x:v>1091</x:v>
      </x:c>
      <x:c r="J20" s="15" t="str">
        <x:v>0.149860 / 0.296024</x:v>
      </x:c>
    </x:row>
    <x:row r="21">
      <x:c r="A21" s="49" t="str">
        <x:v>2025-12-31</x:v>
      </x:c>
      <x:c r="B21" s="78" t="n">
        <x:v>3.8979032258064517</x:v>
      </x:c>
      <x:c r="C21" s="78" t="n">
        <x:v>2.5870190977694163</x:v>
      </x:c>
      <x:c r="D21" s="78" t="n">
        <x:v>2.332323901904335</x:v>
      </x:c>
      <x:c r="E21" s="88" t="n">
        <x:f>(C21-D21)*100</x:f>
        <x:v>25.469519586508138</x:v>
      </x:c>
      <x:c r="F21" s="78" t="n">
        <x:v>2.4118645707427477</x:v>
      </x:c>
      <x:c r="G21" s="50" t="n">
        <x:v>4317</x:v>
      </x:c>
      <x:c r="H21" s="50" t="n">
        <x:v>1080</x:v>
      </x:c>
      <x:c r="I21" s="50" t="n">
        <x:v>1080</x:v>
      </x:c>
      <x:c r="J21" s="15" t="str">
        <x:v>0.149713 / 0.296024</x:v>
      </x:c>
    </x:row>
    <x:row r="22">
      <x:c r="A22" s="49" t="str">
        <x:v>2026-03-31</x:v>
      </x:c>
      <x:c r="B22" s="78" t="n">
        <x:v>3.64</x:v>
      </x:c>
      <x:c r="C22" s="78" t="n">
        <x:v>2.435057756464744</x:v>
      </x:c>
      <x:c r="D22" s="78" t="n">
        <x:v>2.207400401167626</x:v>
      </x:c>
      <x:c r="E22" s="88" t="n">
        <x:f>(C22-D22)*100</x:f>
        <x:v>22.76573552971182</x:v>
      </x:c>
      <x:c r="F22" s="78" t="n">
        <x:v>2.270235023544141</x:v>
      </x:c>
      <x:c r="G22" s="50" t="n">
        <x:v>4266</x:v>
      </x:c>
      <x:c r="H22" s="50" t="n">
        <x:v>1067</x:v>
      </x:c>
      <x:c r="I22" s="50" t="n">
        <x:v>1069</x:v>
      </x:c>
      <x:c r="J22" s="15" t="str">
        <x:v>0.149836 / 0.296466</x:v>
      </x:c>
    </x:row>
    <x:row r="23">
      <x:c r="A23" s="51" t="str">
        <x:v>2026-06-30</x:v>
      </x:c>
      <x:c r="B23" s="84" t="n">
        <x:v>3.6312698412698414</x:v>
      </x:c>
      <x:c r="C23" s="84" t="n">
        <x:v>2.441974236363289</x:v>
      </x:c>
      <x:c r="D23" s="84" t="n">
        <x:v>2.2032420285590995</x:v>
      </x:c>
      <x:c r="E23" s="89" t="n">
        <x:f>(C23-D23)*100</x:f>
        <x:v>23.873220780418958</x:v>
      </x:c>
      <x:c r="F23" s="84" t="n">
        <x:v>2.2745571658615136</x:v>
      </x:c>
      <x:c r="G23" s="52" t="n">
        <x:v>4215</x:v>
      </x:c>
      <x:c r="H23" s="52" t="n">
        <x:v>1054</x:v>
      </x:c>
      <x:c r="I23" s="52" t="n">
        <x:v>1058</x:v>
      </x:c>
      <x:c r="J23" s="17" t="str">
        <x:v>0.149946 / 0.296466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0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>
      <x:c r="A1" s="4" t="str">
        <x:v>Cumulative deposit beta calculations (common endpoint sample)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40" t="str">
        <x:v>Group</x:v>
      </x:c>
      <x:c r="B3" s="40" t="str">
        <x:v>Episode</x:v>
      </x:c>
      <x:c r="C3" s="40" t="str">
        <x:v>Banks</x:v>
      </x:c>
      <x:c r="D3" s="40" t="str">
        <x:v>Start date</x:v>
      </x:c>
      <x:c r="E3" s="40" t="str">
        <x:v>End date</x:v>
      </x:c>
      <x:c r="F3" s="40" t="str">
        <x:v>Start deposit rate (%)</x:v>
      </x:c>
      <x:c r="G3" s="40" t="str">
        <x:v>End deposit rate (%)</x:v>
      </x:c>
      <x:c r="H3" s="40" t="str">
        <x:v>Start EFFR (%)</x:v>
      </x:c>
      <x:c r="I3" s="40" t="str">
        <x:v>End EFFR (%)</x:v>
      </x:c>
      <x:c r="J3" s="40" t="str">
        <x:v>Deposit change (pp)</x:v>
      </x:c>
      <x:c r="K3" s="40" t="str">
        <x:v>EFFR change (pp)</x:v>
      </x:c>
      <x:c r="L3" s="40" t="str">
        <x:v>Beta (%)</x:v>
      </x:c>
    </x:row>
    <x:row r="4">
      <x:c r="A4" s="67" t="str">
        <x:v>Competitive (bottom HHI quartile)</x:v>
      </x:c>
      <x:c r="B4" s="68" t="str">
        <x:v>Tightening/hold</x:v>
      </x:c>
      <x:c r="C4" s="68" t="n">
        <x:v>4168</x:v>
      </x:c>
      <x:c r="D4" s="68" t="str">
        <x:v>2021-12-31</x:v>
      </x:c>
      <x:c r="E4" s="68" t="str">
        <x:v>2024-06-30</x:v>
      </x:c>
      <x:c r="F4" s="83" t="n">
        <x:v>0.3377993700050894</x:v>
      </x:c>
      <x:c r="G4" s="83" t="n">
        <x:v>2.7543654853810993</x:v>
      </x:c>
      <x:c r="H4" s="83" t="n">
        <x:v>0.0795238095238095</x:v>
      </x:c>
      <x:c r="I4" s="83" t="n">
        <x:v>5.33</x:v>
      </x:c>
      <x:c r="J4" s="83" t="n">
        <x:f>G4-F4</x:f>
        <x:v>2.4165661153760096</x:v>
      </x:c>
      <x:c r="K4" s="83" t="n">
        <x:f>I4-H4</x:f>
        <x:v>5.25047619047619</x:v>
      </x:c>
      <x:c r="L4" s="93" t="n">
        <x:f>J4/K4*100</x:f>
        <x:v>46.02565610638146</x:v>
      </x:c>
    </x:row>
    <x:row r="5">
      <x:c r="A5" s="49" t="str">
        <x:v>Competitive (bottom HHI quartile)</x:v>
      </x:c>
      <x:c r="B5" s="50" t="str">
        <x:v>Easing</x:v>
      </x:c>
      <x:c r="C5" s="50" t="n">
        <x:v>4168</x:v>
      </x:c>
      <x:c r="D5" s="50" t="str">
        <x:v>2024-06-30</x:v>
      </x:c>
      <x:c r="E5" s="50" t="str">
        <x:v>2026-06-30</x:v>
      </x:c>
      <x:c r="F5" s="78" t="n">
        <x:v>2.7543654853810993</x:v>
      </x:c>
      <x:c r="G5" s="78" t="n">
        <x:v>2.4268252673084403</x:v>
      </x:c>
      <x:c r="H5" s="78" t="n">
        <x:v>5.33</x:v>
      </x:c>
      <x:c r="I5" s="78" t="n">
        <x:v>3.6312698412698414</x:v>
      </x:c>
      <x:c r="J5" s="78" t="n">
        <x:f>G5-F5</x:f>
        <x:v>-0.327540218072659</x:v>
      </x:c>
      <x:c r="K5" s="78" t="n">
        <x:f>I5-H5</x:f>
        <x:v>-1.6987301587301586</x:v>
      </x:c>
      <x:c r="L5" s="94" t="n">
        <x:f>J5/K5*100</x:f>
        <x:v>19.281474246474975</x:v>
      </x:c>
    </x:row>
    <x:row r="6">
      <x:c r="A6" s="49" t="str">
        <x:v>Concentrated (top HHI quartile)</x:v>
      </x:c>
      <x:c r="B6" s="50" t="str">
        <x:v>Tightening/hold</x:v>
      </x:c>
      <x:c r="C6" s="50" t="n">
        <x:v>4168</x:v>
      </x:c>
      <x:c r="D6" s="50" t="str">
        <x:v>2021-12-31</x:v>
      </x:c>
      <x:c r="E6" s="50" t="str">
        <x:v>2024-06-30</x:v>
      </x:c>
      <x:c r="F6" s="78" t="n">
        <x:v>0.35184892549304275</x:v>
      </x:c>
      <x:c r="G6" s="78" t="n">
        <x:v>2.4543971382173346</x:v>
      </x:c>
      <x:c r="H6" s="78" t="n">
        <x:v>0.0795238095238095</x:v>
      </x:c>
      <x:c r="I6" s="78" t="n">
        <x:v>5.33</x:v>
      </x:c>
      <x:c r="J6" s="78" t="n">
        <x:f>G6-F6</x:f>
        <x:v>2.102548212724292</x:v>
      </x:c>
      <x:c r="K6" s="78" t="n">
        <x:f>I6-H6</x:f>
        <x:v>5.25047619047619</x:v>
      </x:c>
      <x:c r="L6" s="94" t="n">
        <x:f>J6/K6*100</x:f>
        <x:v>40.044905194277284</x:v>
      </x:c>
    </x:row>
    <x:row r="7">
      <x:c r="A7" s="51" t="str">
        <x:v>Concentrated (top HHI quartile)</x:v>
      </x:c>
      <x:c r="B7" s="52" t="str">
        <x:v>Easing</x:v>
      </x:c>
      <x:c r="C7" s="52" t="n">
        <x:v>4168</x:v>
      </x:c>
      <x:c r="D7" s="52" t="str">
        <x:v>2024-06-30</x:v>
      </x:c>
      <x:c r="E7" s="52" t="str">
        <x:v>2026-06-30</x:v>
      </x:c>
      <x:c r="F7" s="84" t="n">
        <x:v>2.4543971382173346</x:v>
      </x:c>
      <x:c r="G7" s="84" t="n">
        <x:v>2.1981030179127465</x:v>
      </x:c>
      <x:c r="H7" s="84" t="n">
        <x:v>5.33</x:v>
      </x:c>
      <x:c r="I7" s="84" t="n">
        <x:v>3.6312698412698414</x:v>
      </x:c>
      <x:c r="J7" s="84" t="n">
        <x:f>G7-F7</x:f>
        <x:v>-0.2562941203045881</x:v>
      </x:c>
      <x:c r="K7" s="84" t="n">
        <x:f>I7-H7</x:f>
        <x:v>-1.6987301587301586</x:v>
      </x:c>
      <x:c r="L7" s="95" t="n">
        <x:f>J7/K7*100</x:f>
        <x:v>15.087394486254018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14" hidden="0" customWidth="1"/>
    <x:col min="5" max="5" width="10" hidden="0" customWidth="1"/>
    <x:col min="6" max="6" width="12" hidden="0" customWidth="1"/>
    <x:col min="7" max="7" width="18" hidden="0" customWidth="1"/>
    <x:col min="8" max="8" width="16" hidden="0" customWidth="1"/>
    <x:col min="9" max="9" width="14" hidden="0" customWidth="1"/>
    <x:col min="10" max="10" width="20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>
      <x:c r="A1" s="4" t="str">
        <x:v>Fixed-effects robustness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60" t="str">
        <x:v>Specification: bank FE + quarter FE + time-varying log assets; concentration fixed at 2021Q4; SE clustered by bank. Extreme-quartile effect is per 100bp EFFR; continuous-HHI effect is per +1,000 conventional HHI points and 100bp EFFR.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4">
      <x:c r="A4" s="40" t="str">
        <x:v>Model</x:v>
      </x:c>
      <x:c r="B4" s="40" t="str">
        <x:v>Episode</x:v>
      </x:c>
      <x:c r="C4" s="40" t="str">
        <x:v>Start</x:v>
      </x:c>
      <x:c r="D4" s="40" t="str">
        <x:v>End</x:v>
      </x:c>
      <x:c r="E4" s="40" t="str">
        <x:v>Banks</x:v>
      </x:c>
      <x:c r="F4" s="40" t="str">
        <x:v>Obs.</x:v>
      </x:c>
      <x:c r="G4" s="40" t="str">
        <x:v>Raw coefficient</x:v>
      </x:c>
      <x:c r="H4" s="40" t="str">
        <x:v>Clustered SE</x:v>
      </x:c>
      <x:c r="I4" s="40" t="str">
        <x:v>p-value</x:v>
      </x:c>
      <x:c r="J4" s="40" t="str">
        <x:v>Less response (bp)</x:v>
      </x:c>
      <x:c r="K4" s="40" t="str">
        <x:v>95% CI low</x:v>
      </x:c>
      <x:c r="L4" s="40" t="str">
        <x:v>95% CI high</x:v>
      </x:c>
      <x:c r="M4" s="40" t="str">
        <x:v>Within R2</x:v>
      </x:c>
    </x:row>
    <x:row r="5">
      <x:c r="A5" s="67" t="str">
        <x:v>Extreme quartiles (High HHI x EFFR)</x:v>
      </x:c>
      <x:c r="B5" s="68" t="str">
        <x:v>Tightening/hold</x:v>
      </x:c>
      <x:c r="C5" s="68" t="str">
        <x:v>2021-12-31</x:v>
      </x:c>
      <x:c r="D5" s="68" t="str">
        <x:v>2024-06-30</x:v>
      </x:c>
      <x:c r="E5" s="68" t="n">
        <x:v>2064</x:v>
      </x:c>
      <x:c r="F5" s="68" t="n">
        <x:v>22704</x:v>
      </x:c>
      <x:c r="G5" s="99" t="n">
        <x:v>-0.07032330204872282</x:v>
      </x:c>
      <x:c r="H5" s="99" t="n">
        <x:v>0.006615720234667393</x:v>
      </x:c>
      <x:c r="I5" s="99" t="n">
        <x:v>2.167452915112873e-26</x:v>
      </x:c>
      <x:c r="J5" s="99" t="n">
        <x:v>7.032330204872282</x:v>
      </x:c>
      <x:c r="K5" s="99" t="n">
        <x:v>5.735649038877473</x:v>
      </x:c>
      <x:c r="L5" s="99" t="n">
        <x:v>8.329011370867091</x:v>
      </x:c>
      <x:c r="M5" s="100" t="n">
        <x:v>0.1742924597625941</x:v>
      </x:c>
    </x:row>
    <x:row r="6">
      <x:c r="A6" s="49" t="str">
        <x:v>Extreme quartiles (High HHI x EFFR)</x:v>
      </x:c>
      <x:c r="B6" s="50" t="str">
        <x:v>Easing</x:v>
      </x:c>
      <x:c r="C6" s="50" t="str">
        <x:v>2024-06-30</x:v>
      </x:c>
      <x:c r="D6" s="50" t="str">
        <x:v>2026-06-30</x:v>
      </x:c>
      <x:c r="E6" s="50" t="n">
        <x:v>2064</x:v>
      </x:c>
      <x:c r="F6" s="50" t="n">
        <x:v>18576</x:v>
      </x:c>
      <x:c r="G6" s="101" t="n">
        <x:v>-0.0801744265045083</x:v>
      </x:c>
      <x:c r="H6" s="101" t="n">
        <x:v>0.012127403021110237</x:v>
      </x:c>
      <x:c r="I6" s="101" t="n">
        <x:v>3.8169737249940434e-11</x:v>
      </x:c>
      <x:c r="J6" s="101" t="n">
        <x:v>8.01744265045083</x:v>
      </x:c>
      <x:c r="K6" s="101" t="n">
        <x:v>5.640471658313224</x:v>
      </x:c>
      <x:c r="L6" s="101" t="n">
        <x:v>10.394413642588438</x:v>
      </x:c>
      <x:c r="M6" s="102" t="n">
        <x:v>0.01712417810545419</x:v>
      </x:c>
    </x:row>
    <x:row r="7">
      <x:c r="A7" s="49" t="str">
        <x:v>Continuous baseline HHI x EFFR</x:v>
      </x:c>
      <x:c r="B7" s="50" t="str">
        <x:v>Tightening/hold</x:v>
      </x:c>
      <x:c r="C7" s="50" t="str">
        <x:v>2021-12-31</x:v>
      </x:c>
      <x:c r="D7" s="50" t="str">
        <x:v>2024-06-30</x:v>
      </x:c>
      <x:c r="E7" s="50" t="n">
        <x:v>4123</x:v>
      </x:c>
      <x:c r="F7" s="50" t="n">
        <x:v>45353</x:v>
      </x:c>
      <x:c r="G7" s="101" t="n">
        <x:v>-0.1615244549284439</x:v>
      </x:c>
      <x:c r="H7" s="101" t="n">
        <x:v>0.018395297678178043</x:v>
      </x:c>
      <x:c r="I7" s="101" t="n">
        <x:v>1.6239246542469657e-18</x:v>
      </x:c>
      <x:c r="J7" s="101" t="n">
        <x:v>1.6152445492844387</x:v>
      </x:c>
      <x:c r="K7" s="101" t="n">
        <x:v>1.2546967147921493</x:v>
      </x:c>
      <x:c r="L7" s="101" t="n">
        <x:v>1.9757923837767286</x:v>
      </x:c>
      <x:c r="M7" s="102" t="n">
        <x:v>0.16148101895738676</x:v>
      </x:c>
    </x:row>
    <x:row r="8">
      <x:c r="A8" s="51" t="str">
        <x:v>Continuous baseline HHI x EFFR</x:v>
      </x:c>
      <x:c r="B8" s="52" t="str">
        <x:v>Easing</x:v>
      </x:c>
      <x:c r="C8" s="52" t="str">
        <x:v>2024-06-30</x:v>
      </x:c>
      <x:c r="D8" s="52" t="str">
        <x:v>2026-06-30</x:v>
      </x:c>
      <x:c r="E8" s="52" t="n">
        <x:v>4123</x:v>
      </x:c>
      <x:c r="F8" s="52" t="n">
        <x:v>37107</x:v>
      </x:c>
      <x:c r="G8" s="103" t="n">
        <x:v>-0.1964017168323113</x:v>
      </x:c>
      <x:c r="H8" s="103" t="n">
        <x:v>0.03279022066325567</x:v>
      </x:c>
      <x:c r="I8" s="103" t="n">
        <x:v>2.103021051586812e-9</x:v>
      </x:c>
      <x:c r="J8" s="103" t="n">
        <x:v>1.9640171683231133</x:v>
      </x:c>
      <x:c r="K8" s="103" t="n">
        <x:v>1.3213288433233021</x:v>
      </x:c>
      <x:c r="L8" s="103" t="n">
        <x:v>2.606705493322924</x:v>
      </x:c>
      <x:c r="M8" s="104" t="n">
        <x:v>0.0097344342536273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0" hidden="0" customWidth="1"/>
    <x:col min="4" max="4" width="12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</x:cols>
  <x:sheetData>
    <x:row r="1">
      <x:c r="A1" s="4" t="str">
        <x:v>Extreme-quartile fixed-effects sensitivity checks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60" t="str">
        <x:v>Quartiles are recalculated inside each restricted 2021Q4 baseline sample. Positive 'less response' means the concentrated group repriced less per 100bp EFFR movement.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4">
      <x:c r="A4" s="40" t="str">
        <x:v>Check</x:v>
      </x:c>
      <x:c r="B4" s="40" t="str">
        <x:v>Episode</x:v>
      </x:c>
      <x:c r="C4" s="40" t="str">
        <x:v>Banks</x:v>
      </x:c>
      <x:c r="D4" s="40" t="str">
        <x:v>Obs.</x:v>
      </x:c>
      <x:c r="E4" s="40" t="str">
        <x:v>HHI P25</x:v>
      </x:c>
      <x:c r="F4" s="40" t="str">
        <x:v>HHI P75</x:v>
      </x:c>
      <x:c r="G4" s="40" t="str">
        <x:v>Less response (bp)</x:v>
      </x:c>
      <x:c r="H4" s="40" t="str">
        <x:v>SE (bp)</x:v>
      </x:c>
      <x:c r="I4" s="40" t="str">
        <x:v>95% CI low</x:v>
      </x:c>
      <x:c r="J4" s="40" t="str">
        <x:v>95% CI high</x:v>
      </x:c>
      <x:c r="K4" s="40" t="str">
        <x:v>p-value</x:v>
      </x:c>
    </x:row>
    <x:row r="5">
      <x:c r="A5" s="67" t="str">
        <x:v>Baseline extreme quartiles</x:v>
      </x:c>
      <x:c r="B5" s="68" t="str">
        <x:v>Tightening/hold</x:v>
      </x:c>
      <x:c r="C5" s="68" t="n">
        <x:v>2064</x:v>
      </x:c>
      <x:c r="D5" s="68" t="n">
        <x:v>22704</x:v>
      </x:c>
      <x:c r="E5" s="99" t="n">
        <x:v>0.1479438229521108</x:v>
      </x:c>
      <x:c r="F5" s="99" t="n">
        <x:v>0.2870629293460013</x:v>
      </x:c>
      <x:c r="G5" s="99" t="n">
        <x:v>7.032330204872282</x:v>
      </x:c>
      <x:c r="H5" s="99" t="n">
        <x:v>0.6615720234667393</x:v>
      </x:c>
      <x:c r="I5" s="99" t="n">
        <x:v>5.735649038877473</x:v>
      </x:c>
      <x:c r="J5" s="99" t="n">
        <x:v>8.329011370867091</x:v>
      </x:c>
      <x:c r="K5" s="100" t="n">
        <x:v>2.167452915112873e-26</x:v>
      </x:c>
    </x:row>
    <x:row r="6">
      <x:c r="A6" s="49" t="str">
        <x:v>Baseline extreme quartiles</x:v>
      </x:c>
      <x:c r="B6" s="50" t="str">
        <x:v>Easing</x:v>
      </x:c>
      <x:c r="C6" s="50" t="n">
        <x:v>2064</x:v>
      </x:c>
      <x:c r="D6" s="50" t="n">
        <x:v>18576</x:v>
      </x:c>
      <x:c r="E6" s="101" t="n">
        <x:v>0.1479438229521108</x:v>
      </x:c>
      <x:c r="F6" s="101" t="n">
        <x:v>0.2870629293460013</x:v>
      </x:c>
      <x:c r="G6" s="101" t="n">
        <x:v>8.01744265045083</x:v>
      </x:c>
      <x:c r="H6" s="101" t="n">
        <x:v>1.2127403021110237</x:v>
      </x:c>
      <x:c r="I6" s="101" t="n">
        <x:v>5.640471658313224</x:v>
      </x:c>
      <x:c r="J6" s="101" t="n">
        <x:v>10.394413642588438</x:v>
      </x:c>
      <x:c r="K6" s="102" t="n">
        <x:v>3.8169737249940434e-11</x:v>
      </x:c>
    </x:row>
    <x:row r="7">
      <x:c r="A7" s="49" t="str">
        <x:v>Exclude banks &gt; $100bn assets (2021Q4)</x:v>
      </x:c>
      <x:c r="B7" s="50" t="str">
        <x:v>Tightening/hold</x:v>
      </x:c>
      <x:c r="C7" s="50" t="n">
        <x:v>2051</x:v>
      </x:c>
      <x:c r="D7" s="50" t="n">
        <x:v>22561</x:v>
      </x:c>
      <x:c r="E7" s="101" t="n">
        <x:v>0.1479438229521108</x:v>
      </x:c>
      <x:c r="F7" s="101" t="n">
        <x:v>0.2870629293460013</x:v>
      </x:c>
      <x:c r="G7" s="101" t="n">
        <x:v>7.021389877032551</x:v>
      </x:c>
      <x:c r="H7" s="101" t="n">
        <x:v>0.6594369140805635</x:v>
      </x:c>
      <x:c r="I7" s="101" t="n">
        <x:v>5.728893525434646</x:v>
      </x:c>
      <x:c r="J7" s="101" t="n">
        <x:v>8.313886228630455</x:v>
      </x:c>
      <x:c r="K7" s="102" t="n">
        <x:v>1.7900761442868926e-26</x:v>
      </x:c>
    </x:row>
    <x:row r="8">
      <x:c r="A8" s="49" t="str">
        <x:v>Exclude banks &gt; $100bn assets (2021Q4)</x:v>
      </x:c>
      <x:c r="B8" s="50" t="str">
        <x:v>Easing</x:v>
      </x:c>
      <x:c r="C8" s="50" t="n">
        <x:v>2051</x:v>
      </x:c>
      <x:c r="D8" s="50" t="n">
        <x:v>18459</x:v>
      </x:c>
      <x:c r="E8" s="101" t="n">
        <x:v>0.1479438229521108</x:v>
      </x:c>
      <x:c r="F8" s="101" t="n">
        <x:v>0.2870629293460013</x:v>
      </x:c>
      <x:c r="G8" s="101" t="n">
        <x:v>8.085580190790823</x:v>
      </x:c>
      <x:c r="H8" s="101" t="n">
        <x:v>1.2125436989481009</x:v>
      </x:c>
      <x:c r="I8" s="101" t="n">
        <x:v>5.708994540852546</x:v>
      </x:c>
      <x:c r="J8" s="101" t="n">
        <x:v>10.462165840729101</x:v>
      </x:c>
      <x:c r="K8" s="102" t="n">
        <x:v>2.588196782825401e-11</x:v>
      </x:c>
    </x:row>
    <x:row r="9">
      <x:c r="A9" s="49" t="str">
        <x:v>Exclude baseline HHI &gt; 0.50</x:v>
      </x:c>
      <x:c r="B9" s="50" t="str">
        <x:v>Tightening/hold</x:v>
      </x:c>
      <x:c r="C9" s="50" t="n">
        <x:v>1975</x:v>
      </x:c>
      <x:c r="D9" s="50" t="n">
        <x:v>21725</x:v>
      </x:c>
      <x:c r="E9" s="101" t="n">
        <x:v>0.1451858819247664</x:v>
      </x:c>
      <x:c r="F9" s="101" t="n">
        <x:v>0.2724414618494359</x:v>
      </x:c>
      <x:c r="G9" s="101" t="n">
        <x:v>6.813930545984667</x:v>
      </x:c>
      <x:c r="H9" s="101" t="n">
        <x:v>0.6754594157959294</x:v>
      </x:c>
      <x:c r="I9" s="101" t="n">
        <x:v>5.490030091024646</x:v>
      </x:c>
      <x:c r="J9" s="101" t="n">
        <x:v>8.137831000944688</x:v>
      </x:c>
      <x:c r="K9" s="102" t="n">
        <x:v>6.252649204138287e-24</x:v>
      </x:c>
    </x:row>
    <x:row r="10">
      <x:c r="A10" s="49" t="str">
        <x:v>Exclude baseline HHI &gt; 0.50</x:v>
      </x:c>
      <x:c r="B10" s="50" t="str">
        <x:v>Easing</x:v>
      </x:c>
      <x:c r="C10" s="50" t="n">
        <x:v>1975</x:v>
      </x:c>
      <x:c r="D10" s="50" t="n">
        <x:v>17775</x:v>
      </x:c>
      <x:c r="E10" s="101" t="n">
        <x:v>0.1451858819247664</x:v>
      </x:c>
      <x:c r="F10" s="101" t="n">
        <x:v>0.2724414618494359</x:v>
      </x:c>
      <x:c r="G10" s="101" t="n">
        <x:v>7.412601075628783</x:v>
      </x:c>
      <x:c r="H10" s="101" t="n">
        <x:v>1.2457608469241992</x:v>
      </x:c>
      <x:c r="I10" s="101" t="n">
        <x:v>4.970909815657352</x:v>
      </x:c>
      <x:c r="J10" s="101" t="n">
        <x:v>9.854292335600213</x:v>
      </x:c>
      <x:c r="K10" s="102" t="n">
        <x:v>2.677166865283316e-9</x:v>
      </x:c>
    </x:row>
    <x:row r="11">
      <x:c r="A11" s="49" t="str">
        <x:v>Banks &gt;= $300m assets (2021Q4)</x:v>
      </x:c>
      <x:c r="B11" s="50" t="str">
        <x:v>Tightening/hold</x:v>
      </x:c>
      <x:c r="C11" s="50" t="n">
        <x:v>1088</x:v>
      </x:c>
      <x:c r="D11" s="50" t="n">
        <x:v>11968</x:v>
      </x:c>
      <x:c r="E11" s="101" t="n">
        <x:v>0.13944470460744102</x:v>
      </x:c>
      <x:c r="F11" s="101" t="n">
        <x:v>0.2650542007990878</x:v>
      </x:c>
      <x:c r="G11" s="101" t="n">
        <x:v>8.45928333109244</x:v>
      </x:c>
      <x:c r="H11" s="101" t="n">
        <x:v>0.908955329133517</x:v>
      </x:c>
      <x:c r="I11" s="101" t="n">
        <x:v>6.677730885990747</x:v>
      </x:c>
      <x:c r="J11" s="101" t="n">
        <x:v>10.240835776194134</x:v>
      </x:c>
      <x:c r="K11" s="102" t="n">
        <x:v>1.3199032329172297e-20</x:v>
      </x:c>
    </x:row>
    <x:row r="12">
      <x:c r="A12" s="49" t="str">
        <x:v>Banks &gt;= $300m assets (2021Q4)</x:v>
      </x:c>
      <x:c r="B12" s="50" t="str">
        <x:v>Easing</x:v>
      </x:c>
      <x:c r="C12" s="50" t="n">
        <x:v>1088</x:v>
      </x:c>
      <x:c r="D12" s="50" t="n">
        <x:v>9792</x:v>
      </x:c>
      <x:c r="E12" s="101" t="n">
        <x:v>0.13944470460744102</x:v>
      </x:c>
      <x:c r="F12" s="101" t="n">
        <x:v>0.2650542007990878</x:v>
      </x:c>
      <x:c r="G12" s="101" t="n">
        <x:v>9.241556753744243</x:v>
      </x:c>
      <x:c r="H12" s="101" t="n">
        <x:v>1.5588661630900935</x:v>
      </x:c>
      <x:c r="I12" s="101" t="n">
        <x:v>6.18617907408766</x:v>
      </x:c>
      <x:c r="J12" s="101" t="n">
        <x:v>12.296934433400827</x:v>
      </x:c>
      <x:c r="K12" s="102" t="n">
        <x:v>3.0593096752152867e-9</x:v>
      </x:c>
    </x:row>
    <x:row r="13">
      <x:c r="A13" s="49" t="str">
        <x:v>Banks &gt;= $1bn assets (2021Q4)</x:v>
      </x:c>
      <x:c r="B13" s="50" t="str">
        <x:v>Tightening/hold</x:v>
      </x:c>
      <x:c r="C13" s="50" t="n">
        <x:v>410</x:v>
      </x:c>
      <x:c r="D13" s="50" t="n">
        <x:v>4510</x:v>
      </x:c>
      <x:c r="E13" s="101" t="n">
        <x:v>0.13079821145529885</x:v>
      </x:c>
      <x:c r="F13" s="101" t="n">
        <x:v>0.24132296815667453</x:v>
      </x:c>
      <x:c r="G13" s="101" t="n">
        <x:v>6.155984822860656</x:v>
      </x:c>
      <x:c r="H13" s="101" t="n">
        <x:v>1.5953083730460984</x:v>
      </x:c>
      <x:c r="I13" s="101" t="n">
        <x:v>3.0291804116903043</x:v>
      </x:c>
      <x:c r="J13" s="101" t="n">
        <x:v>9.282789234031007</x:v>
      </x:c>
      <x:c r="K13" s="102" t="n">
        <x:v>0.00011394254305174599</x:v>
      </x:c>
    </x:row>
    <x:row r="14">
      <x:c r="A14" s="51" t="str">
        <x:v>Banks &gt;= $1bn assets (2021Q4)</x:v>
      </x:c>
      <x:c r="B14" s="52" t="str">
        <x:v>Easing</x:v>
      </x:c>
      <x:c r="C14" s="52" t="n">
        <x:v>410</x:v>
      </x:c>
      <x:c r="D14" s="52" t="n">
        <x:v>3690</x:v>
      </x:c>
      <x:c r="E14" s="103" t="n">
        <x:v>0.13079821145529885</x:v>
      </x:c>
      <x:c r="F14" s="103" t="n">
        <x:v>0.24132296815667453</x:v>
      </x:c>
      <x:c r="G14" s="103" t="n">
        <x:v>3.694875161610743</x:v>
      </x:c>
      <x:c r="H14" s="103" t="n">
        <x:v>2.6809398719086177</x:v>
      </x:c>
      <x:c r="I14" s="103" t="n">
        <x:v>-1.5597669873301474</x:v>
      </x:c>
      <x:c r="J14" s="103" t="n">
        <x:v>8.949517310551633</x:v>
      </x:c>
      <x:c r="K14" s="104" t="n">
        <x:v>0.1681411062946323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28" hidden="0" customWidth="1"/>
    <x:col min="3" max="3" width="54" hidden="0" customWidth="1"/>
    <x:col min="4" max="4" width="48" hidden="0" customWidth="1"/>
  </x:cols>
  <x:sheetData>
    <x:row r="1">
      <x:c r="A1" s="4" t="str">
        <x:v>Article claim to verification source map</x:v>
      </x:c>
      <x:c r="B1" s="4"/>
      <x:c r="C1" s="4"/>
      <x:c r="D1" s="4"/>
    </x:row>
    <x:row r="3">
      <x:c r="A3" s="40" t="str">
        <x:v>Article claim / number</x:v>
      </x:c>
      <x:c r="B3" s="40" t="str">
        <x:v>Verification location</x:v>
      </x:c>
      <x:c r="C3" s="40" t="str">
        <x:v>Underlying calculation</x:v>
      </x:c>
      <x:c r="D3" s="40" t="str">
        <x:v>Notes</x:v>
      </x:c>
    </x:row>
    <x:row r="4">
      <x:c r="A4" s="71" t="str">
        <x:v>91,105 usable bank-quarter observations</x:v>
      </x:c>
      <x:c r="B4" s="72" t="str">
        <x:v>Sample_Construction</x:v>
      </x:c>
      <x:c r="C4" s="72" t="str">
        <x:v>Final valid rows after HHI match and funding-rate filters</x:v>
      </x:c>
      <x:c r="D4" s="25" t="str">
        <x:v>2021Q3-2026Q2.</x:v>
      </x:c>
    </x:row>
    <x:row r="5">
      <x:c r="A5" s="59" t="str">
        <x:v>Competition gap near zero in late 2021; ~35bp by 2024Q2; ~24bp by 2026Q2</x:v>
      </x:c>
      <x:c r="B5" s="60" t="str">
        <x:v>Quarterly_Summary</x:v>
      </x:c>
      <x:c r="C5" s="60" t="str">
        <x:v>(Low-HHI median rate - High-HHI median rate) x 100</x:v>
      </x:c>
      <x:c r="D5" s="27" t="str">
        <x:v>Exact quarter-series values are shown.</x:v>
      </x:c>
    </x:row>
    <x:row r="6">
      <x:c r="A6" s="59" t="str">
        <x:v>Median rates ~0.33% to 2.81% competitive; ~0.35% to 2.46% concentrated</x:v>
      </x:c>
      <x:c r="B6" s="60" t="str">
        <x:v>Quarterly_Summary</x:v>
      </x:c>
      <x:c r="C6" s="60" t="str">
        <x:v>Group medians by quarter</x:v>
      </x:c>
      <x:c r="D6" s="27" t="str">
        <x:v>Article rounds values for readability.</x:v>
      </x:c>
    </x:row>
    <x:row r="7">
      <x:c r="A7" s="59" t="str">
        <x:v>Tightening cumulative beta ~46% vs ~40%</x:v>
      </x:c>
      <x:c r="B7" s="60" t="str">
        <x:v>Endpoint_Betas</x:v>
      </x:c>
      <x:c r="C7" s="60" t="str">
        <x:v>Change in group median deposit rate / change in EFFR</x:v>
      </x:c>
      <x:c r="D7" s="27" t="str">
        <x:v>Common 4,168-bank endpoint sample.</x:v>
      </x:c>
    </x:row>
    <x:row r="8">
      <x:c r="A8" s="59" t="str">
        <x:v>Easing cumulative beta ~19% vs ~15%</x:v>
      </x:c>
      <x:c r="B8" s="60" t="str">
        <x:v>Endpoint_Betas</x:v>
      </x:c>
      <x:c r="C8" s="60" t="str">
        <x:v>Change in group median deposit rate / change in EFFR</x:v>
      </x:c>
      <x:c r="D8" s="27" t="str">
        <x:v>Common 4,168-bank endpoint sample.</x:v>
      </x:c>
    </x:row>
    <x:row r="9">
      <x:c r="A9" s="59" t="str">
        <x:v>Concentrated group ~7bp less response in tightening</x:v>
      </x:c>
      <x:c r="B9" s="60" t="str">
        <x:v>FE_Results</x:v>
      </x:c>
      <x:c r="C9" s="60" t="str">
        <x:v>High-HHI x EFFR coefficient in bank/quarter FE model</x:v>
      </x:c>
      <x:c r="D9" s="27" t="str">
        <x:v>2,064-bank extreme-quartile balanced sample.</x:v>
      </x:c>
    </x:row>
    <x:row r="10">
      <x:c r="A10" s="59" t="str">
        <x:v>Concentrated group ~8bp less response in easing</x:v>
      </x:c>
      <x:c r="B10" s="60" t="str">
        <x:v>FE_Results</x:v>
      </x:c>
      <x:c r="C10" s="60" t="str">
        <x:v>High-HHI x EFFR coefficient in bank/quarter FE model</x:v>
      </x:c>
      <x:c r="D10" s="27" t="str">
        <x:v>2,064-bank extreme-quartile balanced sample.</x:v>
      </x:c>
    </x:row>
    <x:row r="11">
      <x:c r="A11" s="61" t="str">
        <x:v>Continuous HHI robustness: ~1.62bp and ~1.96bp weaker per +1,000 HHI</x:v>
      </x:c>
      <x:c r="B11" s="62" t="str">
        <x:v>FE_Results</x:v>
      </x:c>
      <x:c r="C11" s="62" t="str">
        <x:v>Baseline HHI x EFFR coefficient scaled by 0.10 HHI</x:v>
      </x:c>
      <x:c r="D11" s="29" t="str">
        <x:v>Full 4,123-bank balanced sample.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2" hidden="0" customWidth="1"/>
  </x:cols>
  <x:sheetData>
    <x:row r="1">
      <x:c r="A1" s="4" t="str">
        <x:v>Validation and interpretation notes</x:v>
      </x:c>
      <x:c r="B1" s="4"/>
      <x:c r="C1" s="4"/>
    </x:row>
    <x:row r="3">
      <x:c r="A3" s="40" t="str">
        <x:v>Check</x:v>
      </x:c>
      <x:c r="B3" s="40" t="str">
        <x:v>Result</x:v>
      </x:c>
      <x:c r="C3" s="40" t="str">
        <x:v>Implication</x:v>
      </x:c>
    </x:row>
    <x:row r="4">
      <x:c r="A4" s="71" t="str">
        <x:v>HHI merge</x:v>
      </x:c>
      <x:c r="B4" s="72" t="str">
        <x:v>91,397 of 92,586 analysis rows matched; 98.7158%</x:v>
      </x:c>
      <x:c r="C4" s="25" t="str">
        <x:v>SOD concentration coverage is very high.</x:v>
      </x:c>
    </x:row>
    <x:row r="5">
      <x:c r="A5" s="59" t="str">
        <x:v>Identifier agreement</x:v>
      </x:c>
      <x:c r="B5" s="60" t="str">
        <x:v>99.9934% certificate agreement</x:v>
      </x:c>
      <x:c r="C5" s="27" t="str">
        <x:v>Bank identifier crosswalk is internally consistent.</x:v>
      </x:c>
    </x:row>
    <x:row r="6">
      <x:c r="A6" s="59" t="str">
        <x:v>RC-K denominator validation</x:v>
      </x:c>
      <x:c r="B6" s="60" t="str">
        <x:v>June 2026 validation across 4,227 banks: median shortcut/reported-denominator ratio ~1.0006; median rate difference ~-0.12bp</x:v>
      </x:c>
      <x:c r="C6" s="27" t="str">
        <x:v>The adjacent-quarter-end denominator shortcut closely tracks reported quarterly-average interest-bearing domestic deposits.</x:v>
      </x:c>
    </x:row>
    <x:row r="7">
      <x:c r="A7" s="59" t="str">
        <x:v>Advertised vs effective rate</x:v>
      </x:c>
      <x:c r="B7" s="60" t="str">
        <x:v>Not expected to coincide</x:v>
      </x:c>
      <x:c r="C7" s="27" t="str">
        <x:v>Advertised APYs apply to particular products; the effective rate averages realized funding cost across the bank's existing stock.</x:v>
      </x:c>
    </x:row>
    <x:row r="8">
      <x:c r="A8" s="59" t="str">
        <x:v>Causality</x:v>
      </x:c>
      <x:c r="B8" s="60" t="str">
        <x:v>Not claimed</x:v>
      </x:c>
      <x:c r="C8" s="27" t="str">
        <x:v>HHI is a concentration measure, not direct market power; FE results strengthen the pattern but do not establish that concentration alone causes it.</x:v>
      </x:c>
    </x:row>
    <x:row r="9">
      <x:c r="A9" s="61" t="str">
        <x:v>Cross-country comparison</x:v>
      </x:c>
      <x:c r="B9" s="62" t="str">
        <x:v>Not assumed universal</x:v>
      </x:c>
      <x:c r="C9" s="29" t="str">
        <x:v>The U.S. realized-cycle design is not directly comparable to euro-area unexpected-shock estimates.</x:v>
      </x:c>
    </x:row>
  </x:sheetData>
  <x:mergeCells>
    <x:mergeCell ref="A1:C1"/>
  </x:mergeCells>
  <x:pageMargins left="0.7" right="0.7" top="0.75" bottom="0.75" header="0.3" footer="0.3"/>
</x:worksheet>
</file>